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gworksresearch-my.sharepoint.com/personal/suryanarayanan_bugworksresearch_com/Documents/Desktop/"/>
    </mc:Choice>
  </mc:AlternateContent>
  <xr:revisionPtr revIDLastSave="58" documentId="8_{F5531BB6-6738-4154-BEB2-B2D2B433C559}" xr6:coauthVersionLast="47" xr6:coauthVersionMax="47" xr10:uidLastSave="{97E107A9-99BA-42FF-8513-487BB79CB2F9}"/>
  <bookViews>
    <workbookView xWindow="11352" yWindow="912" windowWidth="10872" windowHeight="11076" activeTab="1" xr2:uid="{AE6AA641-9AE4-433A-91E8-EAA4A53C9206}"/>
  </bookViews>
  <sheets>
    <sheet name="Sheet1" sheetId="1" r:id="rId1"/>
    <sheet name="7cz9" sheetId="3" r:id="rId2"/>
    <sheet name="6ii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B11" i="3"/>
  <c r="B13" i="3"/>
  <c r="B14" i="2"/>
  <c r="B13" i="2"/>
  <c r="B12" i="2"/>
  <c r="B11" i="2"/>
  <c r="B6" i="2"/>
  <c r="D12" i="1"/>
  <c r="D11" i="1"/>
  <c r="D10" i="1"/>
  <c r="D9" i="1"/>
  <c r="B14" i="3" l="1"/>
</calcChain>
</file>

<file path=xl/sharedStrings.xml><?xml version="1.0" encoding="utf-8"?>
<sst xmlns="http://schemas.openxmlformats.org/spreadsheetml/2006/main" count="35" uniqueCount="15">
  <si>
    <t>EPtot</t>
  </si>
  <si>
    <t>EtheshP</t>
  </si>
  <si>
    <t>alphaP</t>
  </si>
  <si>
    <t>EthreshD</t>
  </si>
  <si>
    <t>alphaD</t>
  </si>
  <si>
    <t>Obtained from .out file from 5ns MD simulation</t>
  </si>
  <si>
    <t>No. of residues</t>
  </si>
  <si>
    <t>No. of Atoms</t>
  </si>
  <si>
    <t>Dihed</t>
  </si>
  <si>
    <t>EthreshP</t>
  </si>
  <si>
    <t>From NatComm paper</t>
  </si>
  <si>
    <t>Calculation for OqxB aMD based on Packmol-memgen method</t>
  </si>
  <si>
    <t>Calculation</t>
  </si>
  <si>
    <t>Input details from 5ns simulation</t>
  </si>
  <si>
    <t>Input details from 5ns conventional prod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</si>
</sst>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12529"/>
      <name val="Arial"/>
      <family val="2"/>
    </font>
    <font>
      <b/>
      <sz val="15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3" fillId="0" borderId="2" applyNumberFormat="0" applyFill="0" applyAlignment="0" applyProtection="0"/>
  </cellStyleXfs>
  <cellXfs count="7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2" xfId="1" applyAlignment="1">
      <alignment horizontal="center"/>
    </xf>
    <xf numFmtId="0" fontId="0" fillId="0" borderId="0" xfId="0" applyAlignment="1">
      <alignment horizont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228042</xdr:colOff>
      <xdr:row>12</xdr:row>
      <xdr:rowOff>97155</xdr:rowOff>
    </xdr:from>
    <xdr:to>
      <xdr:col>7</xdr:col>
      <xdr:colOff>836295</xdr:colOff>
      <xdr:row>22</xdr:row>
      <xdr:rowOff>170760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7C95FF-7A1C-2D63-7868-7E5978826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7642" y="2268855"/>
          <a:ext cx="5199303" cy="1883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52B2-F358-457D-875A-C64AE7D99F92}">
  <dimension ref="C1:L12"/>
  <sheetViews>
    <sheetView topLeftCell="A6" workbookViewId="0">
      <selection activeCell="D12" sqref="D12"/>
    </sheetView>
  </sheetViews>
  <sheetFormatPr defaultRowHeight="14.4" x14ac:dyDescent="0.3"/>
  <cols>
    <col min="3" max="3" width="14" bestFit="1" customWidth="1"/>
    <col min="4" max="4" width="14.88671875" customWidth="1"/>
    <col min="7" max="7" width="11.44140625" customWidth="1"/>
    <col min="8" max="8" width="14.21875" customWidth="1"/>
    <col min="12" max="12" width="19.77734375" customWidth="1"/>
  </cols>
  <sheetData>
    <row r="1" spans="3:12" ht="20.399999999999999" thickBot="1" x14ac:dyDescent="0.45">
      <c r="C1" s="5" t="s">
        <v>11</v>
      </c>
      <c r="D1" s="5"/>
      <c r="E1" s="5"/>
      <c r="F1" s="5"/>
      <c r="G1" s="5"/>
      <c r="H1" s="5"/>
    </row>
    <row r="2" spans="3:12" ht="15" thickTop="1" x14ac:dyDescent="0.3"/>
    <row r="3" spans="3:12" x14ac:dyDescent="0.3">
      <c r="C3" t="s">
        <v>0</v>
      </c>
      <c r="D3">
        <v>-761540.34439999994</v>
      </c>
      <c r="E3" t="s">
        <v>5</v>
      </c>
      <c r="L3">
        <v>235547</v>
      </c>
    </row>
    <row r="4" spans="3:12" x14ac:dyDescent="0.3">
      <c r="C4" t="s">
        <v>8</v>
      </c>
      <c r="D4">
        <v>60918.581100000003</v>
      </c>
      <c r="L4">
        <v>23933</v>
      </c>
    </row>
    <row r="5" spans="3:12" x14ac:dyDescent="0.3">
      <c r="C5" t="s">
        <v>6</v>
      </c>
      <c r="D5">
        <v>3130</v>
      </c>
      <c r="L5">
        <v>48202</v>
      </c>
    </row>
    <row r="6" spans="3:12" x14ac:dyDescent="0.3">
      <c r="C6" t="s">
        <v>7</v>
      </c>
      <c r="D6">
        <v>307095</v>
      </c>
      <c r="L6" s="1">
        <v>307095</v>
      </c>
    </row>
    <row r="8" spans="3:12" x14ac:dyDescent="0.3">
      <c r="G8" s="4" t="s">
        <v>10</v>
      </c>
      <c r="H8" s="4"/>
    </row>
    <row r="9" spans="3:12" x14ac:dyDescent="0.3">
      <c r="C9" t="s">
        <v>1</v>
      </c>
      <c r="D9" s="2">
        <f>D3+(0.16*D6)</f>
        <v>-712405.14439999999</v>
      </c>
      <c r="G9" s="3" t="s">
        <v>9</v>
      </c>
      <c r="H9" s="3">
        <v>-553979.46</v>
      </c>
    </row>
    <row r="10" spans="3:12" x14ac:dyDescent="0.3">
      <c r="C10" t="s">
        <v>2</v>
      </c>
      <c r="D10" s="2">
        <f>0.16*D6</f>
        <v>49135.200000000004</v>
      </c>
      <c r="G10" s="3" t="s">
        <v>2</v>
      </c>
      <c r="H10" s="3">
        <v>47109.4</v>
      </c>
    </row>
    <row r="11" spans="3:12" x14ac:dyDescent="0.3">
      <c r="C11" t="s">
        <v>3</v>
      </c>
      <c r="D11" s="2">
        <f>D4+(4*D5)</f>
        <v>73438.58110000001</v>
      </c>
      <c r="G11" s="3" t="s">
        <v>3</v>
      </c>
      <c r="H11" s="3">
        <v>62643.11</v>
      </c>
    </row>
    <row r="12" spans="3:12" x14ac:dyDescent="0.3">
      <c r="C12" t="s">
        <v>4</v>
      </c>
      <c r="D12" s="2">
        <f>(1/5)*(4*D5)</f>
        <v>2504</v>
      </c>
      <c r="G12" s="3" t="s">
        <v>4</v>
      </c>
      <c r="H12" s="3">
        <v>2189.6</v>
      </c>
    </row>
  </sheetData>
  <mergeCells count="2">
    <mergeCell ref="G8:H8"/>
    <mergeCell ref="C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7882-54AA-4C4C-9957-50182595918C}">
  <dimension ref="A3:F15"/>
  <sheetViews>
    <sheetView tabSelected="1" workbookViewId="0">
      <selection activeCell="B12" sqref="B12"/>
    </sheetView>
  </sheetViews>
  <sheetFormatPr defaultRowHeight="14.4" x14ac:dyDescent="0.3"/>
  <cols>
    <col min="1" max="1" width="15.5546875" customWidth="1"/>
    <col min="2" max="2" width="23.33203125" customWidth="1"/>
  </cols>
  <sheetData>
    <row r="3" spans="1:6" x14ac:dyDescent="0.3">
      <c r="A3" s="6" t="s">
        <v>14</v>
      </c>
      <c r="B3" s="6"/>
    </row>
    <row r="4" spans="1:6" x14ac:dyDescent="0.3">
      <c r="A4" t="s">
        <v>0</v>
      </c>
      <c r="B4">
        <v>-257782.10370000001</v>
      </c>
      <c r="E4" s="6"/>
      <c r="F4" s="6"/>
    </row>
    <row r="5" spans="1:6" x14ac:dyDescent="0.3">
      <c r="A5" t="s">
        <v>8</v>
      </c>
      <c r="B5">
        <v>5125.8239000000003</v>
      </c>
    </row>
    <row r="6" spans="1:6" x14ac:dyDescent="0.3">
      <c r="A6" t="s">
        <v>6</v>
      </c>
      <c r="B6">
        <v>487</v>
      </c>
    </row>
    <row r="7" spans="1:6" x14ac:dyDescent="0.3">
      <c r="A7" t="s">
        <v>7</v>
      </c>
      <c r="B7">
        <v>79878</v>
      </c>
    </row>
    <row r="10" spans="1:6" x14ac:dyDescent="0.3">
      <c r="A10" s="6" t="s">
        <v>12</v>
      </c>
      <c r="B10" s="6"/>
    </row>
    <row r="11" spans="1:6" x14ac:dyDescent="0.3">
      <c r="A11" t="s">
        <v>1</v>
      </c>
      <c r="B11" s="2">
        <f>B4+(0.16*B7)</f>
        <v>-245001.6237</v>
      </c>
      <c r="E11" s="6"/>
      <c r="F11" s="6"/>
    </row>
    <row r="12" spans="1:6" x14ac:dyDescent="0.3">
      <c r="A12" t="s">
        <v>2</v>
      </c>
      <c r="B12" s="2">
        <f>0.16*B7</f>
        <v>12780.48</v>
      </c>
      <c r="F12" s="2"/>
    </row>
    <row r="13" spans="1:6" x14ac:dyDescent="0.3">
      <c r="A13" t="s">
        <v>3</v>
      </c>
      <c r="B13" s="2">
        <f>B5+(4*B6)</f>
        <v>7073.8239000000003</v>
      </c>
      <c r="F13" s="2"/>
    </row>
    <row r="14" spans="1:6" x14ac:dyDescent="0.3">
      <c r="A14" t="s">
        <v>4</v>
      </c>
      <c r="B14" s="2">
        <f>(1/5)*(4*B6)</f>
        <v>389.6</v>
      </c>
      <c r="F14" s="2"/>
    </row>
    <row r="15" spans="1:6" x14ac:dyDescent="0.3">
      <c r="F15" s="2"/>
    </row>
  </sheetData>
  <mergeCells count="4">
    <mergeCell ref="A3:B3"/>
    <mergeCell ref="A10:B10"/>
    <mergeCell ref="E4:F4"/>
    <mergeCell ref="E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C8AB-885D-4F20-A4C3-A96631E8B5A9}">
  <dimension ref="A3:B14"/>
  <sheetViews>
    <sheetView workbookViewId="0">
      <selection activeCell="A3" sqref="A3:B14"/>
    </sheetView>
  </sheetViews>
  <sheetFormatPr defaultRowHeight="14.4" x14ac:dyDescent="0.3"/>
  <cols>
    <col min="1" max="1" width="14.88671875" customWidth="1"/>
    <col min="2" max="2" width="16.109375" customWidth="1"/>
  </cols>
  <sheetData>
    <row r="3" spans="1:2" x14ac:dyDescent="0.3">
      <c r="A3" s="6" t="s">
        <v>13</v>
      </c>
      <c r="B3" s="6"/>
    </row>
    <row r="4" spans="1:2" x14ac:dyDescent="0.3">
      <c r="A4" t="s">
        <v>0</v>
      </c>
      <c r="B4">
        <v>-652074.87459999998</v>
      </c>
    </row>
    <row r="5" spans="1:2" x14ac:dyDescent="0.3">
      <c r="A5" t="s">
        <v>8</v>
      </c>
      <c r="B5">
        <v>47073.319600000003</v>
      </c>
    </row>
    <row r="6" spans="1:2" x14ac:dyDescent="0.3">
      <c r="A6" t="s">
        <v>6</v>
      </c>
      <c r="B6">
        <f>1030*3</f>
        <v>3090</v>
      </c>
    </row>
    <row r="7" spans="1:2" x14ac:dyDescent="0.3">
      <c r="A7" t="s">
        <v>7</v>
      </c>
      <c r="B7">
        <v>75522</v>
      </c>
    </row>
    <row r="10" spans="1:2" x14ac:dyDescent="0.3">
      <c r="A10" s="6" t="s">
        <v>12</v>
      </c>
      <c r="B10" s="6"/>
    </row>
    <row r="11" spans="1:2" x14ac:dyDescent="0.3">
      <c r="A11" t="s">
        <v>1</v>
      </c>
      <c r="B11" s="2">
        <f>B4+(0.16*B7)</f>
        <v>-639991.35459999996</v>
      </c>
    </row>
    <row r="12" spans="1:2" x14ac:dyDescent="0.3">
      <c r="A12" t="s">
        <v>2</v>
      </c>
      <c r="B12" s="2">
        <f>0.16*B7</f>
        <v>12083.52</v>
      </c>
    </row>
    <row r="13" spans="1:2" x14ac:dyDescent="0.3">
      <c r="A13" t="s">
        <v>3</v>
      </c>
      <c r="B13" s="2">
        <f>B5+(4*B6)</f>
        <v>59433.319600000003</v>
      </c>
    </row>
    <row r="14" spans="1:2" x14ac:dyDescent="0.3">
      <c r="A14" t="s">
        <v>4</v>
      </c>
      <c r="B14" s="2">
        <f>(1/5)*(4*B6)</f>
        <v>2472</v>
      </c>
    </row>
  </sheetData>
  <mergeCells count="2">
    <mergeCell ref="A3:B3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7cz9</vt:lpstr>
      <vt:lpstr>6iia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Suryanarayanan Venkatesan</dc:creator>
  <cp:lastModifiedBy>Suryanarayanan Venkatesan</cp:lastModifiedBy>
  <dcterms:created xsi:type="dcterms:W3CDTF">2024-10-21T04:36:35Z</dcterms:created>
  <dcterms:modified xsi:type="dcterms:W3CDTF">2025-02-04T05:43:09Z</dcterms:modified>
</cp:coreProperties>
</file>