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narayanan\Scripts_Commands_Inputs\Amber_MD\"/>
    </mc:Choice>
  </mc:AlternateContent>
  <xr:revisionPtr revIDLastSave="0" documentId="13_ncr:1_{DAE5CD01-8D6D-4447-A49E-74429D2FAEA5}" xr6:coauthVersionLast="47" xr6:coauthVersionMax="47" xr10:uidLastSave="{00000000-0000-0000-0000-000000000000}"/>
  <bookViews>
    <workbookView xWindow="-108" yWindow="-108" windowWidth="23256" windowHeight="12456" activeTab="1" xr2:uid="{3D10B844-6EE3-4002-905B-315967BB6918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2" l="1"/>
  <c r="B13" i="2"/>
  <c r="B19" i="2" s="1"/>
  <c r="B13" i="1"/>
  <c r="B19" i="1" s="1"/>
  <c r="B16" i="1"/>
</calcChain>
</file>

<file path=xl/sharedStrings.xml><?xml version="1.0" encoding="utf-8"?>
<sst xmlns="http://schemas.openxmlformats.org/spreadsheetml/2006/main" count="62" uniqueCount="27">
  <si>
    <t>Calculating Salt Molarity in an Explicit Water System</t>
  </si>
  <si>
    <t>1. Find the Volume of the box from leap.log file</t>
  </si>
  <si>
    <t>2. Convert the volume of the system in Å3 to liters using the following conversion factors.</t>
  </si>
  <si>
    <t>3. Determine how many chloride ions are present in one liter of solution at a concentration of 150 mM.</t>
  </si>
  <si>
    <t>4. Determine how many chloride ions are needed in the system.</t>
  </si>
  <si>
    <t>5. Determine the number of sodium ions needed for 150 mM NaCl</t>
  </si>
  <si>
    <t xml:space="preserve">Volume </t>
  </si>
  <si>
    <r>
      <rPr>
        <sz val="11"/>
        <color theme="1"/>
        <rFont val="Calibri"/>
        <family val="2"/>
      </rPr>
      <t>Å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</si>
  <si>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</si>
  <si>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 cm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</si>
  <si>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L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</si>
  <si>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 xml:space="preserve"> L</t>
    </r>
  </si>
  <si>
    <r>
      <t>(10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cm)</t>
    </r>
    <r>
      <rPr>
        <vertAlign val="superscript"/>
        <sz val="11"/>
        <color theme="1"/>
        <rFont val="Calibri"/>
        <family val="2"/>
        <scheme val="minor"/>
      </rPr>
      <t>3</t>
    </r>
  </si>
  <si>
    <t>1 L</t>
  </si>
  <si>
    <t>1 mL</t>
  </si>
  <si>
    <r>
      <t>10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L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</si>
  <si>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mL</t>
    </r>
  </si>
  <si>
    <t>1000 mL</t>
  </si>
  <si>
    <r>
      <t>(10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</rPr>
      <t>Å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3</t>
    </r>
  </si>
  <si>
    <r>
      <t>(10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</rPr>
      <t>*10</t>
    </r>
    <r>
      <rPr>
        <vertAlign val="superscript"/>
        <sz val="11"/>
        <color theme="1"/>
        <rFont val="Calibri"/>
        <family val="2"/>
      </rPr>
      <t>-10</t>
    </r>
    <r>
      <rPr>
        <sz val="11"/>
        <color theme="1"/>
        <rFont val="Calibri"/>
        <family val="2"/>
      </rPr>
      <t>m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</si>
  <si>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</si>
  <si>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(100 cm)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</si>
  <si>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1000000 cm</t>
    </r>
    <r>
      <rPr>
        <vertAlign val="superscript"/>
        <sz val="11"/>
        <color theme="1"/>
        <rFont val="Calibri"/>
        <family val="2"/>
        <scheme val="minor"/>
      </rPr>
      <t>3</t>
    </r>
  </si>
  <si>
    <t>Litre</t>
  </si>
  <si>
    <r>
      <t>Cl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atoms / L</t>
    </r>
  </si>
  <si>
    <t>Ref: https://ambermd.org/tutorials/basic/tutorial8/index.php</t>
  </si>
  <si>
    <t>Salt Conc.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</si>
</sst>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3" fillId="3" borderId="2" applyNumberFormat="0" applyAlignment="0" applyProtection="0"/>
  </cellStyleXfs>
  <cellXfs count="21">
    <xf numFmtId="0" fontId="0" fillId="0" borderId="0" xfId="0"/>
    <xf numFmtId="0" fontId="1" fillId="0" borderId="1" xfId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4" fillId="4" borderId="4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17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/>
    <xf numFmtId="2" fontId="3" fillId="3" borderId="2" xfId="3" applyNumberFormat="1" applyAlignment="1">
      <alignment vertical="center"/>
    </xf>
    <xf numFmtId="0" fontId="2" fillId="2" borderId="2" xfId="2" applyAlignment="1">
      <alignment vertical="center"/>
    </xf>
  </cellXfs>
  <cellStyles count="4">
    <cellStyle name="Calculation" xfId="3" builtinId="22"/>
    <cellStyle name="Heading 2" xfId="1" builtinId="1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11</xdr:row>
      <xdr:rowOff>136862</xdr:rowOff>
    </xdr:from>
    <xdr:to>
      <xdr:col>11</xdr:col>
      <xdr:colOff>400911</xdr:colOff>
      <xdr:row>13</xdr:row>
      <xdr:rowOff>132878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D59BB-2B23-5104-5F0C-BAE8BA71B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7525" y="2318087"/>
          <a:ext cx="4296636" cy="43416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28576</xdr:colOff>
      <xdr:row>14</xdr:row>
      <xdr:rowOff>9525</xdr:rowOff>
    </xdr:from>
    <xdr:to>
      <xdr:col>11</xdr:col>
      <xdr:colOff>19051</xdr:colOff>
      <xdr:row>15</xdr:row>
      <xdr:rowOff>180443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841944-8E24-CFFE-B310-C53667EEC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1" y="2847975"/>
          <a:ext cx="3924300" cy="38999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128307</xdr:colOff>
      <xdr:row>17</xdr:row>
      <xdr:rowOff>69988</xdr:rowOff>
    </xdr:from>
    <xdr:to>
      <xdr:col>11</xdr:col>
      <xdr:colOff>14947</xdr:colOff>
      <xdr:row>19</xdr:row>
      <xdr:rowOff>48289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A07FAA-A9B2-CE13-65EF-67C93CDC9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7732" y="3565663"/>
          <a:ext cx="3820465" cy="4259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11</xdr:row>
      <xdr:rowOff>136862</xdr:rowOff>
    </xdr:from>
    <xdr:to>
      <xdr:col>11</xdr:col>
      <xdr:colOff>400911</xdr:colOff>
      <xdr:row>13</xdr:row>
      <xdr:rowOff>132878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62122B-7D83-45E2-8F87-312275390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7525" y="2318087"/>
          <a:ext cx="4296636" cy="43416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28576</xdr:colOff>
      <xdr:row>14</xdr:row>
      <xdr:rowOff>9525</xdr:rowOff>
    </xdr:from>
    <xdr:to>
      <xdr:col>11</xdr:col>
      <xdr:colOff>19051</xdr:colOff>
      <xdr:row>15</xdr:row>
      <xdr:rowOff>180443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1B198F-23BB-4175-9C5E-021E2B34D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1" y="2847975"/>
          <a:ext cx="3924300" cy="38999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128307</xdr:colOff>
      <xdr:row>17</xdr:row>
      <xdr:rowOff>69988</xdr:rowOff>
    </xdr:from>
    <xdr:to>
      <xdr:col>11</xdr:col>
      <xdr:colOff>14947</xdr:colOff>
      <xdr:row>19</xdr:row>
      <xdr:rowOff>48289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E703DC-CA06-41BC-8D68-7A5EE4B64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7732" y="3565663"/>
          <a:ext cx="3820465" cy="4259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1697-CD99-4236-A8B3-E486A6A27210}">
  <dimension ref="A1:Q20"/>
  <sheetViews>
    <sheetView zoomScaleNormal="100" workbookViewId="0">
      <selection activeCell="C11" sqref="C11"/>
    </sheetView>
  </sheetViews>
  <sheetFormatPr defaultRowHeight="14.4" x14ac:dyDescent="0.3"/>
  <cols>
    <col min="1" max="1" width="5.88671875" customWidth="1"/>
    <col min="2" max="2" width="12" bestFit="1" customWidth="1"/>
    <col min="11" max="11" width="13.33203125" bestFit="1" customWidth="1"/>
    <col min="12" max="12" width="11.6640625" bestFit="1" customWidth="1"/>
  </cols>
  <sheetData>
    <row r="1" spans="1:17" ht="18" thickBot="1" x14ac:dyDescent="0.4">
      <c r="A1" s="1" t="s">
        <v>0</v>
      </c>
      <c r="H1" s="18" t="s">
        <v>25</v>
      </c>
    </row>
    <row r="2" spans="1:17" ht="15" thickTop="1" x14ac:dyDescent="0.3"/>
    <row r="3" spans="1:17" x14ac:dyDescent="0.3">
      <c r="A3" t="s">
        <v>1</v>
      </c>
    </row>
    <row r="4" spans="1:17" x14ac:dyDescent="0.3">
      <c r="A4" t="s">
        <v>2</v>
      </c>
    </row>
    <row r="5" spans="1:17" x14ac:dyDescent="0.3">
      <c r="A5" t="s">
        <v>3</v>
      </c>
    </row>
    <row r="6" spans="1:17" x14ac:dyDescent="0.3">
      <c r="A6" t="s">
        <v>4</v>
      </c>
    </row>
    <row r="7" spans="1:17" x14ac:dyDescent="0.3">
      <c r="A7" t="s">
        <v>5</v>
      </c>
    </row>
    <row r="10" spans="1:17" ht="15" thickBot="1" x14ac:dyDescent="0.35"/>
    <row r="11" spans="1:17" ht="16.2" x14ac:dyDescent="0.3">
      <c r="A11" s="3">
        <v>1</v>
      </c>
      <c r="B11" s="3" t="s">
        <v>6</v>
      </c>
      <c r="C11" s="20">
        <v>565106.87399999995</v>
      </c>
      <c r="D11" s="2" t="s">
        <v>7</v>
      </c>
      <c r="M11" s="7"/>
      <c r="N11" s="8"/>
      <c r="O11" s="8"/>
      <c r="P11" s="10" t="s">
        <v>23</v>
      </c>
      <c r="Q11" s="9"/>
    </row>
    <row r="12" spans="1:17" ht="16.2" x14ac:dyDescent="0.3">
      <c r="A12" s="2"/>
      <c r="B12" s="2"/>
      <c r="C12" s="2"/>
      <c r="D12" s="2"/>
      <c r="M12" s="4" t="s">
        <v>8</v>
      </c>
      <c r="P12" s="11">
        <v>1000</v>
      </c>
      <c r="Q12" s="12" t="s">
        <v>10</v>
      </c>
    </row>
    <row r="13" spans="1:17" ht="16.2" x14ac:dyDescent="0.3">
      <c r="A13" s="3">
        <v>2</v>
      </c>
      <c r="B13" s="2">
        <f>((C11*10^-27)*(P12/P13)*(P14/P12)*(P15/P16)*(P17/P18))</f>
        <v>5.6510687400000001E-22</v>
      </c>
      <c r="C13" s="15"/>
      <c r="D13" s="16"/>
      <c r="M13" s="4" t="s">
        <v>18</v>
      </c>
      <c r="N13" t="s">
        <v>19</v>
      </c>
      <c r="O13" t="s">
        <v>20</v>
      </c>
      <c r="P13" s="11">
        <v>1000</v>
      </c>
      <c r="Q13" s="12" t="s">
        <v>10</v>
      </c>
    </row>
    <row r="14" spans="1:17" ht="16.2" x14ac:dyDescent="0.3">
      <c r="A14" s="2"/>
      <c r="B14" s="2"/>
      <c r="C14" s="2"/>
      <c r="D14" s="16"/>
      <c r="M14" s="4" t="s">
        <v>12</v>
      </c>
      <c r="N14" t="s">
        <v>21</v>
      </c>
      <c r="O14" t="s">
        <v>22</v>
      </c>
      <c r="P14" s="11">
        <v>1000</v>
      </c>
      <c r="Q14" s="12" t="s">
        <v>10</v>
      </c>
    </row>
    <row r="15" spans="1:17" ht="16.2" x14ac:dyDescent="0.3">
      <c r="A15" s="2"/>
      <c r="B15" s="2"/>
      <c r="C15" s="2"/>
      <c r="D15" s="2" t="s">
        <v>26</v>
      </c>
      <c r="M15" s="4" t="s">
        <v>14</v>
      </c>
      <c r="P15" s="11">
        <v>1E-3</v>
      </c>
      <c r="Q15" s="12" t="s">
        <v>11</v>
      </c>
    </row>
    <row r="16" spans="1:17" ht="16.2" x14ac:dyDescent="0.3">
      <c r="A16" s="3">
        <v>3</v>
      </c>
      <c r="B16" s="2">
        <f>(((D16*1000)/1)*(1/10^3)*(6.022*10^23/1))</f>
        <v>9.0329999999999997E+22</v>
      </c>
      <c r="C16" s="2"/>
      <c r="D16" s="20">
        <v>0.15</v>
      </c>
      <c r="M16" s="4" t="s">
        <v>9</v>
      </c>
      <c r="P16" s="11">
        <v>1E-3</v>
      </c>
      <c r="Q16" s="12" t="s">
        <v>11</v>
      </c>
    </row>
    <row r="17" spans="1:17" ht="16.2" x14ac:dyDescent="0.3">
      <c r="A17" s="2"/>
      <c r="B17" s="2"/>
      <c r="C17" s="2"/>
      <c r="D17" s="2"/>
      <c r="M17" s="4" t="s">
        <v>13</v>
      </c>
      <c r="P17" s="11">
        <v>1</v>
      </c>
      <c r="Q17" s="12" t="s">
        <v>15</v>
      </c>
    </row>
    <row r="18" spans="1:17" ht="16.8" thickBot="1" x14ac:dyDescent="0.35">
      <c r="A18" s="2"/>
      <c r="B18" s="2"/>
      <c r="C18" s="2"/>
      <c r="D18" s="2"/>
      <c r="M18" s="5" t="s">
        <v>16</v>
      </c>
      <c r="N18" s="6" t="s">
        <v>17</v>
      </c>
      <c r="O18" s="6"/>
      <c r="P18" s="13">
        <v>1</v>
      </c>
      <c r="Q18" s="14" t="s">
        <v>15</v>
      </c>
    </row>
    <row r="19" spans="1:17" ht="16.2" x14ac:dyDescent="0.3">
      <c r="A19" s="3">
        <v>4</v>
      </c>
      <c r="B19" s="19">
        <f>B13*B16</f>
        <v>51.046103928420003</v>
      </c>
      <c r="C19" s="17" t="s">
        <v>24</v>
      </c>
      <c r="D19" s="2"/>
    </row>
    <row r="20" spans="1:17" x14ac:dyDescent="0.3">
      <c r="C20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67FE-74B1-45D2-9B42-C5261F58E16A}">
  <dimension ref="A1:Q20"/>
  <sheetViews>
    <sheetView tabSelected="1" zoomScaleNormal="100" workbookViewId="0">
      <selection activeCell="C11" sqref="C11"/>
    </sheetView>
  </sheetViews>
  <sheetFormatPr defaultRowHeight="14.4" x14ac:dyDescent="0.3"/>
  <cols>
    <col min="1" max="1" width="5.88671875" customWidth="1"/>
    <col min="2" max="2" width="12" bestFit="1" customWidth="1"/>
    <col min="11" max="11" width="13.33203125" bestFit="1" customWidth="1"/>
    <col min="12" max="12" width="11.6640625" bestFit="1" customWidth="1"/>
  </cols>
  <sheetData>
    <row r="1" spans="1:17" ht="18" thickBot="1" x14ac:dyDescent="0.4">
      <c r="A1" s="1" t="s">
        <v>0</v>
      </c>
      <c r="H1" s="18" t="s">
        <v>25</v>
      </c>
    </row>
    <row r="2" spans="1:17" ht="15" thickTop="1" x14ac:dyDescent="0.3"/>
    <row r="3" spans="1:17" x14ac:dyDescent="0.3">
      <c r="A3" t="s">
        <v>1</v>
      </c>
    </row>
    <row r="4" spans="1:17" x14ac:dyDescent="0.3">
      <c r="A4" t="s">
        <v>2</v>
      </c>
    </row>
    <row r="5" spans="1:17" x14ac:dyDescent="0.3">
      <c r="A5" t="s">
        <v>3</v>
      </c>
    </row>
    <row r="6" spans="1:17" x14ac:dyDescent="0.3">
      <c r="A6" t="s">
        <v>4</v>
      </c>
    </row>
    <row r="7" spans="1:17" x14ac:dyDescent="0.3">
      <c r="A7" t="s">
        <v>5</v>
      </c>
    </row>
    <row r="10" spans="1:17" ht="15" thickBot="1" x14ac:dyDescent="0.35"/>
    <row r="11" spans="1:17" ht="16.2" x14ac:dyDescent="0.3">
      <c r="A11" s="3">
        <v>1</v>
      </c>
      <c r="B11" s="3" t="s">
        <v>6</v>
      </c>
      <c r="C11" s="20">
        <v>683783.71400000004</v>
      </c>
      <c r="D11" s="2" t="s">
        <v>7</v>
      </c>
      <c r="M11" s="7"/>
      <c r="N11" s="8"/>
      <c r="O11" s="8"/>
      <c r="P11" s="10" t="s">
        <v>23</v>
      </c>
      <c r="Q11" s="9"/>
    </row>
    <row r="12" spans="1:17" ht="16.2" x14ac:dyDescent="0.3">
      <c r="A12" s="2"/>
      <c r="B12" s="2"/>
      <c r="C12" s="2"/>
      <c r="D12" s="2"/>
      <c r="M12" s="4" t="s">
        <v>8</v>
      </c>
      <c r="P12" s="11">
        <v>1000</v>
      </c>
      <c r="Q12" s="12" t="s">
        <v>10</v>
      </c>
    </row>
    <row r="13" spans="1:17" ht="16.2" x14ac:dyDescent="0.3">
      <c r="A13" s="3">
        <v>2</v>
      </c>
      <c r="B13" s="2">
        <f>((C11*10^-27)*(P12/P13)*(P14/P12)*(P15/P16)*(P17/P18))</f>
        <v>6.837837140000001E-22</v>
      </c>
      <c r="C13" s="15"/>
      <c r="D13" s="16"/>
      <c r="M13" s="4" t="s">
        <v>18</v>
      </c>
      <c r="N13" t="s">
        <v>19</v>
      </c>
      <c r="O13" t="s">
        <v>20</v>
      </c>
      <c r="P13" s="11">
        <v>1000</v>
      </c>
      <c r="Q13" s="12" t="s">
        <v>10</v>
      </c>
    </row>
    <row r="14" spans="1:17" ht="16.2" x14ac:dyDescent="0.3">
      <c r="A14" s="2"/>
      <c r="B14" s="2"/>
      <c r="C14" s="2"/>
      <c r="D14" s="16"/>
      <c r="M14" s="4" t="s">
        <v>12</v>
      </c>
      <c r="N14" t="s">
        <v>21</v>
      </c>
      <c r="O14" t="s">
        <v>22</v>
      </c>
      <c r="P14" s="11">
        <v>1000</v>
      </c>
      <c r="Q14" s="12" t="s">
        <v>10</v>
      </c>
    </row>
    <row r="15" spans="1:17" ht="16.2" x14ac:dyDescent="0.3">
      <c r="A15" s="2"/>
      <c r="B15" s="2"/>
      <c r="C15" s="2"/>
      <c r="D15" s="2" t="s">
        <v>26</v>
      </c>
      <c r="M15" s="4" t="s">
        <v>14</v>
      </c>
      <c r="P15" s="11">
        <v>1E-3</v>
      </c>
      <c r="Q15" s="12" t="s">
        <v>11</v>
      </c>
    </row>
    <row r="16" spans="1:17" ht="16.2" x14ac:dyDescent="0.3">
      <c r="A16" s="3">
        <v>3</v>
      </c>
      <c r="B16" s="2">
        <f>(((D16*1000)/1)*(1/10^3)*(6.022*10^23/1))</f>
        <v>9.0329999999999997E+22</v>
      </c>
      <c r="C16" s="2"/>
      <c r="D16" s="20">
        <v>0.15</v>
      </c>
      <c r="M16" s="4" t="s">
        <v>9</v>
      </c>
      <c r="P16" s="11">
        <v>1E-3</v>
      </c>
      <c r="Q16" s="12" t="s">
        <v>11</v>
      </c>
    </row>
    <row r="17" spans="1:17" ht="16.2" x14ac:dyDescent="0.3">
      <c r="A17" s="2"/>
      <c r="B17" s="2"/>
      <c r="C17" s="2"/>
      <c r="D17" s="2"/>
      <c r="M17" s="4" t="s">
        <v>13</v>
      </c>
      <c r="P17" s="11">
        <v>1</v>
      </c>
      <c r="Q17" s="12" t="s">
        <v>15</v>
      </c>
    </row>
    <row r="18" spans="1:17" ht="16.8" thickBot="1" x14ac:dyDescent="0.35">
      <c r="A18" s="2"/>
      <c r="B18" s="2"/>
      <c r="C18" s="2"/>
      <c r="D18" s="2"/>
      <c r="M18" s="5" t="s">
        <v>16</v>
      </c>
      <c r="N18" s="6" t="s">
        <v>17</v>
      </c>
      <c r="O18" s="6"/>
      <c r="P18" s="13">
        <v>1</v>
      </c>
      <c r="Q18" s="14" t="s">
        <v>15</v>
      </c>
    </row>
    <row r="19" spans="1:17" ht="16.2" x14ac:dyDescent="0.3">
      <c r="A19" s="3">
        <v>4</v>
      </c>
      <c r="B19" s="19">
        <f>B13*B16</f>
        <v>61.766182885620005</v>
      </c>
      <c r="C19" s="17" t="s">
        <v>24</v>
      </c>
      <c r="D19" s="2"/>
    </row>
    <row r="20" spans="1:17" x14ac:dyDescent="0.3">
      <c r="C20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Suryanarayanan</dc:creator>
  <cp:lastModifiedBy>Suryanarayanan Venkatesan</cp:lastModifiedBy>
  <dcterms:created xsi:type="dcterms:W3CDTF">2022-07-26T07:00:08Z</dcterms:created>
  <dcterms:modified xsi:type="dcterms:W3CDTF">2025-02-07T11:37:58Z</dcterms:modified>
</cp:coreProperties>
</file>